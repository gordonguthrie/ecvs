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ordon\ecvs\docs\"/>
    </mc:Choice>
  </mc:AlternateContent>
  <xr:revisionPtr revIDLastSave="0" documentId="13_ncr:1_{B0DBCB31-3D58-47D3-9B71-E7AE0CFC2CC4}" xr6:coauthVersionLast="47" xr6:coauthVersionMax="47" xr10:uidLastSave="{00000000-0000-0000-0000-000000000000}"/>
  <bookViews>
    <workbookView xWindow="19110" yWindow="-5070" windowWidth="27170" windowHeight="20970" xr2:uid="{6F13BD72-AB9A-465E-85B8-5B5C60C9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4" i="1" s="1"/>
  <c r="E15" i="1"/>
  <c r="C15" i="1"/>
  <c r="D15" i="1"/>
  <c r="B15" i="1"/>
  <c r="C14" i="1"/>
  <c r="D14" i="1"/>
  <c r="B14" i="1"/>
  <c r="C9" i="1"/>
  <c r="C12" i="1"/>
  <c r="C13" i="1" s="1"/>
  <c r="D12" i="1"/>
  <c r="D13" i="1" s="1"/>
  <c r="B12" i="1"/>
  <c r="B13" i="1" s="1"/>
</calcChain>
</file>

<file path=xl/sharedStrings.xml><?xml version="1.0" encoding="utf-8"?>
<sst xmlns="http://schemas.openxmlformats.org/spreadsheetml/2006/main" count="15" uniqueCount="15">
  <si>
    <t>Pantheon Height</t>
  </si>
  <si>
    <t>Sentinels</t>
  </si>
  <si>
    <t>Camera Offset</t>
  </si>
  <si>
    <t>Angle</t>
  </si>
  <si>
    <t>Hypotenuse</t>
  </si>
  <si>
    <t>Clip length</t>
  </si>
  <si>
    <t>Secs</t>
  </si>
  <si>
    <t>Frames</t>
  </si>
  <si>
    <t>Frame Rate</t>
  </si>
  <si>
    <t>Angle movement</t>
  </si>
  <si>
    <t>Scaled offset</t>
  </si>
  <si>
    <t>Blender Heigth</t>
  </si>
  <si>
    <t>X Resolution</t>
  </si>
  <si>
    <t>Y Resolution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</si>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</sst>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F23D-9AB1-48A9-AFB6-9C4EAC6DD5E3}">
  <dimension ref="A1:F15"/>
  <sheetViews>
    <sheetView tabSelected="1" workbookViewId="0">
      <selection activeCell="E14" sqref="E14"/>
    </sheetView>
  </sheetViews>
  <sheetFormatPr defaultRowHeight="14.4" x14ac:dyDescent="0.3"/>
  <cols>
    <col min="1" max="1" width="15.33203125" style="1" customWidth="1"/>
  </cols>
  <sheetData>
    <row r="1" spans="1:6" x14ac:dyDescent="0.3">
      <c r="A1" s="1" t="s">
        <v>11</v>
      </c>
      <c r="B1">
        <v>0.59599999999999997</v>
      </c>
      <c r="E1" s="1" t="s">
        <v>12</v>
      </c>
      <c r="F1" s="1" t="s">
        <v>13</v>
      </c>
    </row>
    <row r="2" spans="1:6" x14ac:dyDescent="0.3">
      <c r="A2" s="1" t="s">
        <v>0</v>
      </c>
      <c r="B2">
        <v>10</v>
      </c>
      <c r="E2">
        <v>3840</v>
      </c>
      <c r="F2">
        <v>2160</v>
      </c>
    </row>
    <row r="3" spans="1:6" x14ac:dyDescent="0.3">
      <c r="A3" s="1" t="s">
        <v>1</v>
      </c>
      <c r="B3">
        <v>30</v>
      </c>
    </row>
    <row r="5" spans="1:6" x14ac:dyDescent="0.3">
      <c r="A5" s="1" t="s">
        <v>8</v>
      </c>
      <c r="B5">
        <v>29.97</v>
      </c>
    </row>
    <row r="7" spans="1:6" x14ac:dyDescent="0.3">
      <c r="B7" s="1" t="s">
        <v>6</v>
      </c>
      <c r="C7" s="1" t="s">
        <v>7</v>
      </c>
    </row>
    <row r="8" spans="1:6" x14ac:dyDescent="0.3">
      <c r="A8" s="1" t="s">
        <v>5</v>
      </c>
      <c r="B8">
        <v>12</v>
      </c>
      <c r="C8">
        <v>9</v>
      </c>
    </row>
    <row r="9" spans="1:6" x14ac:dyDescent="0.3">
      <c r="C9">
        <f>B8*B5+C8</f>
        <v>368.64</v>
      </c>
    </row>
    <row r="10" spans="1:6" x14ac:dyDescent="0.3">
      <c r="E10" t="s">
        <v>14</v>
      </c>
    </row>
    <row r="11" spans="1:6" x14ac:dyDescent="0.3">
      <c r="A11" s="1" t="s">
        <v>2</v>
      </c>
      <c r="B11">
        <v>5</v>
      </c>
      <c r="C11">
        <v>10</v>
      </c>
      <c r="D11">
        <v>15</v>
      </c>
      <c r="E11">
        <v>15</v>
      </c>
    </row>
    <row r="12" spans="1:6" x14ac:dyDescent="0.3">
      <c r="A12" s="1" t="s">
        <v>4</v>
      </c>
      <c r="B12">
        <f>SQRT(($B$3*$B$3)+(B11*B11))</f>
        <v>30.413812651491099</v>
      </c>
      <c r="C12">
        <f t="shared" ref="C12:D12" si="0">SQRT(($B$3*$B$3)+(C11*C11))</f>
        <v>31.622776601683793</v>
      </c>
      <c r="D12">
        <f t="shared" si="0"/>
        <v>33.541019662496844</v>
      </c>
      <c r="E12">
        <f t="shared" ref="E12" si="1">SQRT(($B$3*$B$3)+(E11*E11))</f>
        <v>33.541019662496844</v>
      </c>
    </row>
    <row r="13" spans="1:6" x14ac:dyDescent="0.3">
      <c r="A13" s="1" t="s">
        <v>3</v>
      </c>
      <c r="B13">
        <f>DEGREES(ASIN($B$3/B12))</f>
        <v>80.537677791974389</v>
      </c>
      <c r="C13">
        <f t="shared" ref="C13:D13" si="2">DEGREES(ASIN($B$3/C12))</f>
        <v>71.565051177077976</v>
      </c>
      <c r="D13">
        <f t="shared" si="2"/>
        <v>63.434948822922017</v>
      </c>
      <c r="E13">
        <v>73</v>
      </c>
    </row>
    <row r="14" spans="1:6" x14ac:dyDescent="0.3">
      <c r="A14" s="1" t="s">
        <v>9</v>
      </c>
      <c r="B14">
        <f>B13/$C$9</f>
        <v>0.21847243324645832</v>
      </c>
      <c r="C14">
        <f t="shared" ref="C14:D14" si="3">C13/$C$9</f>
        <v>0.19413262580587559</v>
      </c>
      <c r="D14">
        <f t="shared" si="3"/>
        <v>0.17207831169412441</v>
      </c>
      <c r="E14">
        <f t="shared" ref="E14" si="4">E13/$C$9</f>
        <v>0.1980251736111111</v>
      </c>
    </row>
    <row r="15" spans="1:6" x14ac:dyDescent="0.3">
      <c r="A15" s="1" t="s">
        <v>10</v>
      </c>
      <c r="B15">
        <f>B11*$B$1/$B$3</f>
        <v>9.9333333333333329E-2</v>
      </c>
      <c r="C15">
        <f t="shared" ref="C15:D15" si="5">C11*$B$1/$B$3</f>
        <v>0.19866666666666666</v>
      </c>
      <c r="D15">
        <f t="shared" si="5"/>
        <v>0.29799999999999999</v>
      </c>
      <c r="E15">
        <f t="shared" ref="E15" si="6">E11*$B$1/$B$3</f>
        <v>0.29799999999999999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Guthrie</dc:creator>
  <cp:lastModifiedBy>Gordon Guthrie</cp:lastModifiedBy>
  <dcterms:created xsi:type="dcterms:W3CDTF">2025-12-27T18:32:33Z</dcterms:created>
  <dcterms:modified xsi:type="dcterms:W3CDTF">2026-01-02T18:06:34Z</dcterms:modified>
</cp:coreProperties>
</file>